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d\OneDrive\Desktop\Excel Work\"/>
    </mc:Choice>
  </mc:AlternateContent>
  <xr:revisionPtr revIDLastSave="0" documentId="13_ncr:1_{2FD02C1D-0438-4D6F-A623-C203C622B2AC}" xr6:coauthVersionLast="36" xr6:coauthVersionMax="36" xr10:uidLastSave="{00000000-0000-0000-0000-000000000000}"/>
  <bookViews>
    <workbookView xWindow="0" yWindow="0" windowWidth="23040" windowHeight="9036" xr2:uid="{2327ED65-40D6-4C2C-9B54-571D0CD12E17}"/>
  </bookViews>
  <sheets>
    <sheet name="Sheet1" sheetId="1" r:id="rId1"/>
  </sheets>
  <definedNames>
    <definedName name="_xlnm.Print_Area" localSheetId="0">Sheet1!$A$1:$N$21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C5" i="1"/>
  <c r="D5" i="1"/>
  <c r="E5" i="1"/>
  <c r="F5" i="1"/>
  <c r="G5" i="1"/>
  <c r="H5" i="1"/>
  <c r="I5" i="1"/>
  <c r="J5" i="1"/>
  <c r="K5" i="1"/>
  <c r="L5" i="1"/>
  <c r="M5" i="1"/>
  <c r="B5" i="1"/>
  <c r="N4" i="1"/>
  <c r="C4" i="1"/>
  <c r="D4" i="1"/>
  <c r="E4" i="1"/>
  <c r="F4" i="1"/>
  <c r="G4" i="1"/>
  <c r="H4" i="1"/>
  <c r="I4" i="1"/>
  <c r="J4" i="1"/>
  <c r="K4" i="1"/>
  <c r="L4" i="1"/>
  <c r="M4" i="1"/>
  <c r="B4" i="1"/>
  <c r="N3" i="1"/>
  <c r="D3" i="1"/>
  <c r="E3" i="1" s="1"/>
  <c r="F3" i="1" s="1"/>
  <c r="G3" i="1" s="1"/>
  <c r="H3" i="1" s="1"/>
  <c r="I3" i="1" s="1"/>
  <c r="J3" i="1" s="1"/>
  <c r="K3" i="1" s="1"/>
  <c r="L3" i="1" s="1"/>
  <c r="M3" i="1" s="1"/>
  <c r="C3" i="1"/>
  <c r="B3" i="1"/>
</calcChain>
</file>

<file path=xl/sharedStrings.xml><?xml version="1.0" encoding="utf-8"?>
<sst xmlns="http://schemas.openxmlformats.org/spreadsheetml/2006/main" count="22" uniqueCount="22">
  <si>
    <t>Net Income Projections</t>
  </si>
  <si>
    <t>Revenue</t>
  </si>
  <si>
    <t>Expenses</t>
  </si>
  <si>
    <t>Net Income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</si>
  <si>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</si>
  <si>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</si>
  <si>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</si>
  <si>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</si>
  <si>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</si>
  <si>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</si>
  <si>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</si>
  <si>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</si>
  <si>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</si>
  <si>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</si>
  <si>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</si>
  <si>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</si>
  <si>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</si>
  <si>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Assumptions (Formula Inputs)</t>
  </si>
  <si>
    <t>Start Revenue for Jan</t>
  </si>
  <si>
    <t>Revenue % Increase</t>
  </si>
  <si>
    <t>Expense as % of Revenue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</si>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</sst>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6" formatCode="&quot;₹&quot;\ #,##0"/>
  </numFmts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/>
    <xf numFmtId="166" fontId="2" fillId="0" borderId="1" xfId="0" applyNumberFormat="1" applyFont="1" applyBorder="1"/>
    <xf numFmtId="166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Sheet1!$A$1</c:f>
          <c:strCache>
            <c:ptCount val="1"/>
            <c:pt idx="0">
              <c:v>Net Income Projections</c:v>
            </c:pt>
          </c:strCache>
        </c:strRef>
      </c:tx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Sheet1!$B$5:$M$5</c:f>
              <c:numCache>
                <c:formatCode>"₹"\ #,##0</c:formatCode>
                <c:ptCount val="12"/>
                <c:pt idx="0">
                  <c:v>1750</c:v>
                </c:pt>
                <c:pt idx="1">
                  <c:v>1837.5</c:v>
                </c:pt>
                <c:pt idx="2">
                  <c:v>1929.375</c:v>
                </c:pt>
                <c:pt idx="3">
                  <c:v>2025.84375</c:v>
                </c:pt>
                <c:pt idx="4">
                  <c:v>2127.1359374999997</c:v>
                </c:pt>
                <c:pt idx="5">
                  <c:v>2233.4927343749996</c:v>
                </c:pt>
                <c:pt idx="6">
                  <c:v>2345.1673710937503</c:v>
                </c:pt>
                <c:pt idx="7">
                  <c:v>2462.4257396484372</c:v>
                </c:pt>
                <c:pt idx="8">
                  <c:v>2585.5470266308594</c:v>
                </c:pt>
                <c:pt idx="9">
                  <c:v>2714.8243779624027</c:v>
                </c:pt>
                <c:pt idx="10">
                  <c:v>2850.5655968605233</c:v>
                </c:pt>
                <c:pt idx="11">
                  <c:v>2993.0938767035486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6-4DB5-BA1B-D6CBD9E9E4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06621648"/>
        <c:axId val="1508910304"/>
      </c:barChart>
      <c:catAx>
        <c:axId val="13066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10304"/>
        <c:crosses val="autoZero"/>
        <c:auto val="1"/>
        <c:lblAlgn val="ctr"/>
        <c:lblOffset val="100"/>
        <c:noMultiLvlLbl val="0"/>
      </c:catAx>
      <c:valAx>
        <c:axId val="1508910304"/>
        <c:scaling>
          <c:orientation val="minMax"/>
        </c:scaling>
        <c:delete val="1"/>
        <c:axPos val="l"/>
        <c:numFmt formatCode="&quot;₹&quot;\ #,##0" sourceLinked="1"/>
        <c:majorTickMark val="none"/>
        <c:minorTickMark val="none"/>
        <c:tickLblPos val="nextTo"/>
        <c:crossAx val="130662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662940</xdr:colOff>
      <xdr:row>6</xdr:row>
      <xdr:rowOff>0</xdr:rowOff>
    </xdr:from>
    <xdr:to>
      <xdr:col>14</xdr:col>
      <xdr:colOff>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C297A-95C4-4815-8E2C-9581CA785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D42B-E207-41D7-B739-D4AF22F96EF5}">
  <dimension ref="A1:N12"/>
  <sheetViews>
    <sheetView tabSelected="1" workbookViewId="0">
      <selection activeCell="S22" sqref="S22"/>
    </sheetView>
  </sheetViews>
  <sheetFormatPr defaultRowHeight="15.6" x14ac:dyDescent="0.3"/>
  <cols>
    <col min="1" max="1" width="10.5" bestFit="1" customWidth="1"/>
    <col min="4" max="4" width="9.3984375" bestFit="1" customWidth="1"/>
  </cols>
  <sheetData>
    <row r="1" spans="1:14" ht="2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8" t="s">
        <v>16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2" t="s">
        <v>21</v>
      </c>
    </row>
    <row r="3" spans="1:14" x14ac:dyDescent="0.3">
      <c r="A3" s="2" t="s">
        <v>1</v>
      </c>
      <c r="B3" s="7">
        <f>D10</f>
        <v>5000</v>
      </c>
      <c r="C3" s="7">
        <f>B3*$D$11</f>
        <v>5250</v>
      </c>
      <c r="D3" s="7">
        <f t="shared" ref="D3:M3" si="0">C3*$D$11</f>
        <v>5512.5</v>
      </c>
      <c r="E3" s="7">
        <f t="shared" si="0"/>
        <v>5788.125</v>
      </c>
      <c r="F3" s="7">
        <f t="shared" si="0"/>
        <v>6077.53125</v>
      </c>
      <c r="G3" s="7">
        <f t="shared" si="0"/>
        <v>6381.4078125000005</v>
      </c>
      <c r="H3" s="7">
        <f t="shared" si="0"/>
        <v>6700.4782031250006</v>
      </c>
      <c r="I3" s="7">
        <f t="shared" si="0"/>
        <v>7035.5021132812508</v>
      </c>
      <c r="J3" s="7">
        <f t="shared" si="0"/>
        <v>7387.2772189453135</v>
      </c>
      <c r="K3" s="7">
        <f t="shared" si="0"/>
        <v>7756.6410798925799</v>
      </c>
      <c r="L3" s="7">
        <f t="shared" si="0"/>
        <v>8144.4731338872089</v>
      </c>
      <c r="M3" s="7">
        <f t="shared" si="0"/>
        <v>8551.6967905815691</v>
      </c>
      <c r="N3" s="6">
        <f>SUM(B3:M3)</f>
        <v>79585.632602212921</v>
      </c>
    </row>
    <row r="4" spans="1:14" x14ac:dyDescent="0.3">
      <c r="A4" s="2" t="s">
        <v>2</v>
      </c>
      <c r="B4" s="7">
        <f>B3*$D$12</f>
        <v>3250</v>
      </c>
      <c r="C4" s="7">
        <f t="shared" ref="C4:M4" si="1">C3*$D$12</f>
        <v>3412.5</v>
      </c>
      <c r="D4" s="7">
        <f t="shared" si="1"/>
        <v>3583.125</v>
      </c>
      <c r="E4" s="7">
        <f t="shared" si="1"/>
        <v>3762.28125</v>
      </c>
      <c r="F4" s="7">
        <f t="shared" si="1"/>
        <v>3950.3953125000003</v>
      </c>
      <c r="G4" s="7">
        <f t="shared" si="1"/>
        <v>4147.9150781250009</v>
      </c>
      <c r="H4" s="7">
        <f t="shared" si="1"/>
        <v>4355.3108320312504</v>
      </c>
      <c r="I4" s="7">
        <f t="shared" si="1"/>
        <v>4573.0763736328136</v>
      </c>
      <c r="J4" s="7">
        <f t="shared" si="1"/>
        <v>4801.7301923144541</v>
      </c>
      <c r="K4" s="7">
        <f t="shared" si="1"/>
        <v>5041.8167019301773</v>
      </c>
      <c r="L4" s="7">
        <f t="shared" si="1"/>
        <v>5293.9075370266855</v>
      </c>
      <c r="M4" s="7">
        <f t="shared" si="1"/>
        <v>5558.6029138780204</v>
      </c>
      <c r="N4" s="6">
        <f>SUM(B4:M4)</f>
        <v>51730.661191438405</v>
      </c>
    </row>
    <row r="5" spans="1:14" x14ac:dyDescent="0.3">
      <c r="A5" s="2" t="s">
        <v>3</v>
      </c>
      <c r="B5" s="7">
        <f>B3-B4</f>
        <v>1750</v>
      </c>
      <c r="C5" s="7">
        <f t="shared" ref="C5:M5" si="2">C3-C4</f>
        <v>1837.5</v>
      </c>
      <c r="D5" s="7">
        <f t="shared" si="2"/>
        <v>1929.375</v>
      </c>
      <c r="E5" s="7">
        <f t="shared" si="2"/>
        <v>2025.84375</v>
      </c>
      <c r="F5" s="7">
        <f t="shared" si="2"/>
        <v>2127.1359374999997</v>
      </c>
      <c r="G5" s="7">
        <f t="shared" si="2"/>
        <v>2233.4927343749996</v>
      </c>
      <c r="H5" s="7">
        <f t="shared" si="2"/>
        <v>2345.1673710937503</v>
      </c>
      <c r="I5" s="7">
        <f t="shared" si="2"/>
        <v>2462.4257396484372</v>
      </c>
      <c r="J5" s="7">
        <f t="shared" si="2"/>
        <v>2585.5470266308594</v>
      </c>
      <c r="K5" s="7">
        <f t="shared" si="2"/>
        <v>2714.8243779624027</v>
      </c>
      <c r="L5" s="7">
        <f t="shared" si="2"/>
        <v>2850.5655968605233</v>
      </c>
      <c r="M5" s="7">
        <f t="shared" si="2"/>
        <v>2993.0938767035486</v>
      </c>
      <c r="N5" s="6">
        <f>SUM(B5:M5)</f>
        <v>27854.971410774517</v>
      </c>
    </row>
    <row r="9" spans="1:14" x14ac:dyDescent="0.3">
      <c r="A9" s="3" t="s">
        <v>17</v>
      </c>
      <c r="B9" s="3"/>
      <c r="C9" s="3"/>
      <c r="D9" s="3"/>
    </row>
    <row r="10" spans="1:14" x14ac:dyDescent="0.3">
      <c r="A10" s="4" t="s">
        <v>18</v>
      </c>
      <c r="B10" s="4"/>
      <c r="C10" s="4"/>
      <c r="D10" s="6">
        <v>5000</v>
      </c>
    </row>
    <row r="11" spans="1:14" x14ac:dyDescent="0.3">
      <c r="A11" s="4" t="s">
        <v>19</v>
      </c>
      <c r="B11" s="4"/>
      <c r="C11" s="4"/>
      <c r="D11" s="5">
        <v>1.05</v>
      </c>
    </row>
    <row r="12" spans="1:14" x14ac:dyDescent="0.3">
      <c r="A12" s="4" t="s">
        <v>20</v>
      </c>
      <c r="B12" s="4"/>
      <c r="C12" s="4"/>
      <c r="D12" s="5">
        <v>0.65</v>
      </c>
    </row>
  </sheetData>
  <mergeCells count="5">
    <mergeCell ref="A1:N1"/>
    <mergeCell ref="A11:C11"/>
    <mergeCell ref="A10:C10"/>
    <mergeCell ref="A12:C12"/>
    <mergeCell ref="A9:D9"/>
  </mergeCells>
  <printOptions horizontalCentered="1"/>
  <pageMargins left="0" right="0" top="0.74803149606299213" bottom="0.74803149606299213" header="0.31496062992125984" footer="0.31496062992125984"/>
  <pageSetup paperSize="9" orientation="landscape" r:id="rId1"/>
  <headerFooter>
    <oddHeader>&amp;F</oddHeader>
    <oddFooter>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Pachar</dc:creator>
  <cp:lastModifiedBy>Vinod Pachar</cp:lastModifiedBy>
  <cp:lastPrinted>2025-11-08T07:59:35Z</cp:lastPrinted>
  <dcterms:created xsi:type="dcterms:W3CDTF">2025-11-08T06:55:27Z</dcterms:created>
  <dcterms:modified xsi:type="dcterms:W3CDTF">2025-11-08T08:45:53Z</dcterms:modified>
</cp:coreProperties>
</file>